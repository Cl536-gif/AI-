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dc91517a6f4b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" sheetId="1" r:id="R8d83fdd1a1ce492f"/>
    <x:sheet xmlns:r="http://schemas.openxmlformats.org/officeDocument/2006/relationships" name="费用明细" sheetId="2" r:id="Ra7ef8696bbad4a99"/>
    <x:sheet xmlns:r="http://schemas.openxmlformats.org/officeDocument/2006/relationships" name="来源与汇率" sheetId="3" r:id="Rf0e4e0353ef84b27"/>
    <x:sheet xmlns:r="http://schemas.openxmlformats.org/officeDocument/2006/relationships" name="核对" sheetId="4" r:id="Rdfc70a8168a64c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¥#,##0.00"/>
    <x:numFmt numFmtId="201" formatCode="£#,##0.00"/>
    <x:numFmt numFmtId="202" formatCode="#,##0.00;[Red](#,##0.00);-"/>
    <x:numFmt numFmtId="203" formatCode="0.0%"/>
    <x:numFmt numFmtId="204" formatCode="yyyy-mm-dd"/>
    <x:numFmt numFmtId="205" formatCode="0.0000"/>
  </x:numFmts>
  <x:fonts count="10">
    <x:font>
      <x:sz val="11"/>
      <x:name val="Carlito"/>
    </x:font>
    <x:font>
      <x:b/>
      <x:sz val="20"/>
      <x:color rgb="FFFFFFFF"/>
      <x:name val="Carlito"/>
    </x:font>
    <x:font>
      <x:sz val="10"/>
      <x:color rgb="FF16324F"/>
      <x:name val="Carlito"/>
    </x:font>
    <x:font>
      <x:b/>
      <x:sz val="11"/>
      <x:color rgb="FF16324F"/>
      <x:name val="Carlito"/>
    </x:font>
    <x:font>
      <x:b/>
      <x:sz val="18"/>
      <x:color rgb="FF2563EB"/>
      <x:name val="Carlito"/>
    </x:font>
    <x:font>
      <x:b/>
      <x:sz val="11"/>
      <x:color rgb="FFFFFFFF"/>
      <x:name val="Carlito"/>
    </x:font>
    <x:font>
      <x:i/>
      <x:sz val="11"/>
      <x:color rgb="FF9A3412"/>
      <x:name val="Carlito"/>
    </x:font>
    <x:font>
      <x:b/>
      <x:sz val="18"/>
      <x:color rgb="FFFFFFFF"/>
      <x:name val="Carlito"/>
    </x:font>
    <x:font>
      <x:sz val="11"/>
      <x:color rgb="FF16324F"/>
      <x:name val="Carlito"/>
    </x:font>
    <x:font>
      <x:b/>
      <x:sz val="14"/>
      <x:color rgb="FF0F766E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CE8F5"/>
      </x:patternFill>
    </x:fill>
    <x:fill>
      <x:patternFill patternType="solid">
        <x:fgColor rgb="FFF3F4F6"/>
      </x:patternFill>
    </x:fill>
    <x:fill>
      <x:patternFill patternType="solid">
        <x:fgColor rgb="FFEAF2FF"/>
      </x:patternFill>
    </x:fill>
    <x:fill>
      <x:patternFill patternType="solid">
        <x:fgColor rgb="FFFFF7ED"/>
      </x:patternFill>
    </x:fill>
    <x:fill>
      <x:patternFill patternType="solid">
        <x:fgColor rgb="FFF8FBFF"/>
      </x:patternFill>
    </x:fill>
    <x:fill>
      <x:patternFill patternType="solid">
        <x:fgColor rgb="FFDCFCE7"/>
      </x:patternFill>
    </x:fill>
  </x:fills>
  <x:borders count="6">
    <x:border/>
    <x:border>
      <x:bottom style="double">
        <x:color rgb="FF16324F"/>
      </x:bottom>
    </x:border>
    <x:border>
      <x:bottom style="thin">
        <x:color rgb="FFD8DEE8"/>
      </x:bottom>
    </x:border>
    <x:border>
      <x:top style="thin">
        <x:color rgb="FFD8DEE8"/>
      </x:top>
      <x:bottom style="thin">
        <x:color rgb="FFD8DEE8"/>
      </x:bottom>
    </x:border>
    <x:border>
      <x:top style="thin">
        <x:color rgb="FFD8DEE8"/>
      </x:top>
      <x:bottom style="thin">
        <x:color rgb="FFB8C2CF"/>
      </x:bottom>
    </x:border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</x:borders>
  <x:cellStyleXfs count="1">
    <x:xf numFmtId="0" fontId="0" fillId="0" borderId="0"/>
  </x:cellStyleXfs>
  <x:cellXfs count="7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200" fontId="4" fillId="5" borderId="0" xfId="0" applyNumberFormat="1" applyFont="1" applyFill="1" applyBorder="1" applyAlignment="1">
      <x:alignment horizontal="center" vertical="center"/>
    </x:xf>
    <x:xf numFmtId="201" fontId="4" fillId="5" borderId="0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200" fontId="3" fillId="3" borderId="1" xfId="0" applyNumberFormat="1" applyFont="1" applyFill="1" applyBorder="1"/>
    <x:xf numFmtId="203" fontId="3" fillId="3" borderId="1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204" fontId="0" fillId="7" borderId="0" xfId="0" applyNumberFormat="1" applyFont="1" applyFill="1" applyBorder="1"/>
    <x:xf numFmtId="202" fontId="0" fillId="7" borderId="0" xfId="0" applyNumberFormat="1" applyFont="1" applyFill="1" applyBorder="1"/>
    <x:xf numFmtId="0" fontId="5" fillId="2" borderId="2" xfId="0" applyNumberFormat="1" applyFont="1" applyFill="1" applyBorder="1" applyAlignment="1">
      <x:alignment horizontal="center" wrapText="1"/>
    </x:xf>
    <x:xf numFmtId="0" fontId="0" fillId="7" borderId="3" xfId="0" applyNumberFormat="1" applyFont="1" applyFill="1" applyBorder="1"/>
    <x:xf numFmtId="204" fontId="0" fillId="7" borderId="3" xfId="0" applyNumberFormat="1" applyFont="1" applyFill="1" applyBorder="1"/>
    <x:xf numFmtId="202" fontId="0" fillId="7" borderId="3" xfId="0" applyNumberFormat="1" applyFont="1" applyFill="1" applyBorder="1"/>
    <x:xf numFmtId="202" fontId="0" fillId="0" borderId="3" xfId="0" applyNumberFormat="1" applyFont="1" applyFill="1" applyBorder="1"/>
    <x:xf numFmtId="0" fontId="0" fillId="7" borderId="4" xfId="0" applyNumberFormat="1" applyFont="1" applyFill="1" applyBorder="1"/>
    <x:xf numFmtId="204" fontId="0" fillId="7" borderId="4" xfId="0" applyNumberFormat="1" applyFont="1" applyFill="1" applyBorder="1"/>
    <x:xf numFmtId="202" fontId="0" fillId="7" borderId="4" xfId="0" applyNumberFormat="1" applyFont="1" applyFill="1" applyBorder="1"/>
    <x:xf numFmtId="202" fontId="0" fillId="0" borderId="4" xfId="0" applyNumberFormat="1" applyFont="1" applyFill="1" applyBorder="1"/>
    <x:xf numFmtId="0" fontId="5" fillId="2" borderId="2" xfId="0" applyNumberFormat="1" applyFont="1" applyFill="1" applyBorder="1" applyAlignment="1">
      <x:alignment horizontal="center" vertical="center" wrapText="1"/>
    </x:xf>
    <x:xf numFmtId="0" fontId="0" fillId="7" borderId="3" xfId="0" applyNumberFormat="1" applyFont="1" applyFill="1" applyBorder="1" applyAlignment="1">
      <x:alignment vertical="center"/>
    </x:xf>
    <x:xf numFmtId="204" fontId="0" fillId="7" borderId="3" xfId="0" applyNumberFormat="1" applyFont="1" applyFill="1" applyBorder="1" applyAlignment="1">
      <x:alignment vertical="center"/>
    </x:xf>
    <x:xf numFmtId="202" fontId="0" fillId="7" borderId="3" xfId="0" applyNumberFormat="1" applyFont="1" applyFill="1" applyBorder="1" applyAlignment="1">
      <x:alignment vertical="center"/>
    </x:xf>
    <x:xf numFmtId="202" fontId="0" fillId="0" borderId="3" xfId="0" applyNumberFormat="1" applyFont="1" applyFill="1" applyBorder="1" applyAlignment="1">
      <x:alignment vertical="center"/>
    </x:xf>
    <x:xf numFmtId="0" fontId="0" fillId="7" borderId="4" xfId="0" applyNumberFormat="1" applyFont="1" applyFill="1" applyBorder="1" applyAlignment="1">
      <x:alignment vertical="center"/>
    </x:xf>
    <x:xf numFmtId="204" fontId="0" fillId="7" borderId="4" xfId="0" applyNumberFormat="1" applyFont="1" applyFill="1" applyBorder="1" applyAlignment="1">
      <x:alignment vertical="center"/>
    </x:xf>
    <x:xf numFmtId="202" fontId="0" fillId="7" borderId="4" xfId="0" applyNumberFormat="1" applyFont="1" applyFill="1" applyBorder="1" applyAlignment="1">
      <x:alignment vertical="center"/>
    </x:xf>
    <x:xf numFmtId="202" fontId="0" fillId="0" borderId="4" xfId="0" applyNumberFormat="1" applyFont="1" applyFill="1" applyBorder="1" applyAlignment="1">
      <x:alignment vertical="center"/>
    </x:xf>
    <x:xf numFmtId="0" fontId="0" fillId="7" borderId="3" xfId="0" applyNumberFormat="1" applyFont="1" applyFill="1" applyBorder="1" applyAlignment="1">
      <x:alignment vertical="center" wrapText="1"/>
    </x:xf>
    <x:xf numFmtId="0" fontId="0" fillId="7" borderId="4" xfId="0" applyNumberFormat="1" applyFont="1" applyFill="1" applyBorder="1" applyAlignment="1">
      <x:alignment vertical="center" wrapText="1"/>
    </x:xf>
    <x:xf numFmtId="205" fontId="0" fillId="0" borderId="0" xfId="0" applyNumberFormat="1" applyFont="1" applyFill="1" applyBorder="1"/>
    <x:xf numFmtId="205" fontId="0" fillId="5" borderId="0" xfId="0" applyNumberFormat="1" applyFont="1" applyFill="1" applyBorder="1"/>
    <x:xf numFmtId="204" fontId="0" fillId="0" borderId="0" xfId="0" applyNumberFormat="1" applyFont="1" applyFill="1" applyBorder="1"/>
    <x:xf numFmtId="0" fontId="5" fillId="2" borderId="2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/>
    <x:xf numFmtId="204" fontId="0" fillId="0" borderId="3" xfId="0" applyNumberFormat="1" applyFont="1" applyFill="1" applyBorder="1"/>
    <x:xf numFmtId="0" fontId="0" fillId="0" borderId="4" xfId="0" applyNumberFormat="1" applyFont="1" applyFill="1" applyBorder="1"/>
    <x:xf numFmtId="204" fontId="0" fillId="0" borderId="4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204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204" fontId="0" fillId="0" borderId="4" xfId="0" applyNumberFormat="1" applyFont="1" applyFill="1" applyBorder="1" applyAlignment="1">
      <x:alignment wrapText="1"/>
    </x:xf>
    <x:xf numFmtId="0" fontId="3" fillId="8" borderId="0" xfId="0" applyNumberFormat="1" applyFont="1" applyFill="1" applyBorder="1"/>
    <x:xf numFmtId="0" fontId="9" fillId="8" borderId="0" xfId="0" applyNumberFormat="1" applyFont="1" applyFill="1" applyBorder="1"/>
    <x:xf numFmtId="0" fontId="5" fillId="2" borderId="5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/>
    <x:xf numFmtId="202" fontId="0" fillId="0" borderId="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bdf82aca0747f1" /><Relationship Type="http://schemas.openxmlformats.org/officeDocument/2006/relationships/theme" Target="/xl/theme/theme1.xml" Id="R0225b42d8c5c4637" /><Relationship Type="http://schemas.openxmlformats.org/officeDocument/2006/relationships/sharedStrings" Target="/xl/sharedStrings.xml" Id="R16a236c235244b93" /><Relationship Type="http://schemas.openxmlformats.org/officeDocument/2006/relationships/worksheet" Target="/xl/worksheets/sheet1.xml" Id="R8d83fdd1a1ce492f" /><Relationship Type="http://schemas.openxmlformats.org/officeDocument/2006/relationships/worksheet" Target="/xl/worksheets/sheet2.xml" Id="Ra7ef8696bbad4a99" /><Relationship Type="http://schemas.openxmlformats.org/officeDocument/2006/relationships/worksheet" Target="/xl/worksheets/sheet3.xml" Id="Rf0e4e0353ef84b27" /><Relationship Type="http://schemas.openxmlformats.org/officeDocument/2006/relationships/worksheet" Target="/xl/worksheets/sheet4.xml" Id="Rdfc70a8168a64c90" /></Relationships>
</file>

<file path=xl/tables/table1.xml><?xml version="1.0" encoding="utf-8"?>
<x:table xmlns:x="http://schemas.openxmlformats.org/spreadsheetml/2006/main" id="1" name="ExpenseDetailTable" displayName="ExpenseDetailTable" ref="A5:K38" headerRowCount="1" totalsRowCount="0" totalsRowShown="0">
  <x:tableColumns count="11">
    <x:tableColumn id="1" name="账单月份"/>
    <x:tableColumn id="2" name="日期"/>
    <x:tableColumn id="3" name="供应商"/>
    <x:tableColumn id="4" name="产品/费用项"/>
    <x:tableColumn id="5" name="币种"/>
    <x:tableColumn id="6" name="原币金额"/>
    <x:tableColumn id="7" name="汇率"/>
    <x:tableColumn id="8" name="人民币金额"/>
    <x:tableColumn id="9" name="状态"/>
    <x:tableColumn id="10" name="凭证文件"/>
    <x:tableColumn id="11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c559e8226ee47e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4" t="str">
        <x:v>AI饮食秘书｜项目费用总账</x:v>
      </x:c>
      <x:c r="B1" s="4"/>
      <x:c r="C1" s="4"/>
      <x:c r="D1" s="4"/>
      <x:c r="E1" s="4"/>
      <x:c r="F1" s="4"/>
    </x:row>
    <x:row r="2">
      <x:c r="A2" s="4"/>
      <x:c r="B2" s="4"/>
      <x:c r="C2" s="4"/>
      <x:c r="D2" s="4"/>
      <x:c r="E2" s="4"/>
      <x:c r="F2" s="4"/>
    </x:row>
    <x:row r="3">
      <x:c r="A3" s="6" t="str">
        <x:v>统计截止：2026-08-31｜英镑按中国银行2026-08-31 12:15:53中间价换算</x:v>
      </x:c>
      <x:c r="B3" s="6"/>
      <x:c r="C3" s="6"/>
      <x:c r="D3" s="6"/>
      <x:c r="E3" s="6"/>
      <x:c r="F3" s="6"/>
    </x:row>
    <x:row r="5">
      <x:c r="A5" s="9" t="str">
        <x:v>累计支出（人民币）</x:v>
      </x:c>
      <x:c r="B5" s="9"/>
      <x:c r="C5" s="9"/>
      <x:c r="D5" s="9" t="str">
        <x:v>英镑支出原币</x:v>
      </x:c>
      <x:c r="E5" s="9"/>
      <x:c r="F5" s="9"/>
    </x:row>
    <x:row r="6">
      <x:c r="A6" s="14" t="n">
        <x:f>ROUND(SUM('费用明细'!$H$6:$H$100),2)</x:f>
        <x:v>8145.64</x:v>
      </x:c>
      <x:c r="B6" s="13"/>
      <x:c r="C6" s="13"/>
      <x:c r="D6" s="15" t="n">
        <x:f>ROUND(SUMIF('费用明细'!$E$6:$E$100,"GBP",'费用明细'!$F$6:$F$100),2)</x:f>
        <x:v>798.39</x:v>
      </x:c>
      <x:c r="E6" s="13"/>
      <x:c r="F6" s="13"/>
    </x:row>
    <x:row r="7">
      <x:c r="A7" s="13"/>
      <x:c r="B7" s="13"/>
      <x:c r="C7" s="13"/>
      <x:c r="D7" s="13"/>
      <x:c r="E7" s="13"/>
      <x:c r="F7" s="13"/>
    </x:row>
    <x:row r="9">
      <x:c r="A9" s="9" t="str">
        <x:v>英镑折算人民币</x:v>
      </x:c>
      <x:c r="B9" s="9"/>
      <x:c r="C9" s="9"/>
      <x:c r="D9" s="9" t="str">
        <x:v>人民币直接支出</x:v>
      </x:c>
      <x:c r="E9" s="9"/>
      <x:c r="F9" s="9"/>
    </x:row>
    <x:row r="10">
      <x:c r="A10" s="14" t="n">
        <x:f>ROUND(SUMIF('费用明细'!$E$6:$E$100,"GBP",'费用明细'!$H$6:$H$100),2)</x:f>
        <x:v>7307.66</x:v>
      </x:c>
      <x:c r="B10" s="13"/>
      <x:c r="C10" s="13"/>
      <x:c r="D10" s="14" t="n">
        <x:f>ROUND(SUMIF('费用明细'!$E$6:$E$100,"CNY",'费用明细'!$H$6:$H$100),2)</x:f>
        <x:v>837.98</x:v>
      </x:c>
      <x:c r="E10" s="13"/>
      <x:c r="F10" s="13"/>
    </x:row>
    <x:row r="11">
      <x:c r="A11" s="13"/>
      <x:c r="B11" s="13"/>
      <x:c r="C11" s="13"/>
      <x:c r="D11" s="13"/>
      <x:c r="E11" s="13"/>
      <x:c r="F11" s="13"/>
    </x:row>
    <x:row r="14">
      <x:c r="A14" s="17" t="str">
        <x:v>供应商</x:v>
      </x:c>
      <x:c r="B14" s="17" t="str">
        <x:v>原币金额</x:v>
      </x:c>
      <x:c r="C14" s="17" t="str">
        <x:v>人民币金额</x:v>
      </x:c>
      <x:c r="D14" s="17" t="str">
        <x:v>占总支出</x:v>
      </x:c>
    </x:row>
    <x:row r="15">
      <x:c r="A15" t="str">
        <x:v>OpenAI</x:v>
      </x:c>
      <x:c r="B15" s="18" t="n">
        <x:f>ROUND(SUMIF('费用明细'!$C$6:$C$100,A15,'费用明细'!$F$6:$F$100),2)</x:f>
        <x:v>690.39</x:v>
      </x:c>
      <x:c r="C15" s="18" t="n">
        <x:f>ROUND(SUMIF('费用明细'!$C$6:$C$100,A15,'费用明细'!$H$6:$H$100),2)</x:f>
        <x:v>6319.14</x:v>
      </x:c>
      <x:c r="D15" s="19" t="n">
        <x:f>C15/$A$6</x:f>
        <x:v>0.7757696141739631</x:v>
      </x:c>
    </x:row>
    <x:row r="16">
      <x:c r="A16" t="str">
        <x:v>Anthropic</x:v>
      </x:c>
      <x:c r="B16" s="18" t="n">
        <x:f>ROUND(SUMIF('费用明细'!$C$6:$C$100,A16,'费用明细'!$F$6:$F$100),2)</x:f>
        <x:v>108</x:v>
      </x:c>
      <x:c r="C16" s="18" t="n">
        <x:f>ROUND(SUMIF('费用明细'!$C$6:$C$100,A16,'费用明细'!$H$6:$H$100),2)</x:f>
        <x:v>988.52</x:v>
      </x:c>
      <x:c r="D16" s="19" t="n">
        <x:f>C16/$A$6</x:f>
        <x:v>0.12135571913318044</x:v>
      </x:c>
    </x:row>
    <x:row r="17">
      <x:c r="A17" t="str">
        <x:v>腾讯云</x:v>
      </x:c>
      <x:c r="B17" s="18" t="n">
        <x:f>ROUND(SUMIF('费用明细'!$C$6:$C$100,A17,'费用明细'!$F$6:$F$100),2)</x:f>
        <x:v>778.34</x:v>
      </x:c>
      <x:c r="C17" s="18" t="n">
        <x:f>ROUND(SUMIF('费用明细'!$C$6:$C$100,A17,'费用明细'!$H$6:$H$100),2)</x:f>
        <x:v>778.34</x:v>
      </x:c>
      <x:c r="D17" s="19" t="n">
        <x:f>C17/$A$6</x:f>
        <x:v>0.09555295839246516</x:v>
      </x:c>
    </x:row>
    <x:row r="18">
      <x:c r="A18" t="str">
        <x:v>阿里云</x:v>
      </x:c>
      <x:c r="B18" s="18" t="n">
        <x:f>ROUND(SUMIF('费用明细'!$C$6:$C$100,A18,'费用明细'!$F$6:$F$100),2)</x:f>
        <x:v>59.64</x:v>
      </x:c>
      <x:c r="C18" s="18" t="n">
        <x:f>ROUND(SUMIF('费用明细'!$C$6:$C$100,A18,'费用明细'!$H$6:$H$100),2)</x:f>
        <x:v>59.64</x:v>
      </x:c>
      <x:c r="D18" s="19" t="n">
        <x:f>C18/$A$6</x:f>
        <x:v>0.007321708300391375</x:v>
      </x:c>
    </x:row>
    <x:row r="19">
      <x:c r="A19" s="21" t="str">
        <x:v>合计</x:v>
      </x:c>
      <x:c r="B19" s="21"/>
      <x:c r="C19" s="22" t="n">
        <x:f>ROUND(SUM(C15:C18),2)</x:f>
        <x:v>8145.64</x:v>
      </x:c>
      <x:c r="D19" s="23" t="n">
        <x:f>SUM(D15:D18)</x:f>
        <x:v>1</x:v>
      </x:c>
    </x:row>
    <x:row r="22">
      <x:c r="A22" s="27" t="str">
        <x:v>注意：OpenAI £39.40 的截图日期被裁切，金额已计入；Anthropic截图底部仅显示2026-06-18日期标题、未显示金额，因此未计入。</x:v>
      </x:c>
      <x:c r="B22" s="27"/>
      <x:c r="C22" s="27"/>
      <x:c r="D22" s="27"/>
      <x:c r="E22" s="27"/>
      <x:c r="F22" s="27"/>
    </x:row>
    <x:row r="23">
      <x:c r="A23" s="27"/>
      <x:c r="B23" s="27"/>
      <x:c r="C23" s="27"/>
      <x:c r="D23" s="27"/>
      <x:c r="E23" s="27"/>
      <x:c r="F23" s="27"/>
    </x:row>
  </x:sheetData>
  <x:mergeCells>
    <x:mergeCell ref="A1:F2"/>
    <x:mergeCell ref="A3:F3"/>
    <x:mergeCell ref="A5:C5"/>
    <x:mergeCell ref="D5:F5"/>
    <x:mergeCell ref="A9:C9"/>
    <x:mergeCell ref="D9:F9"/>
    <x:mergeCell ref="A6:C7"/>
    <x:mergeCell ref="D6:F7"/>
    <x:mergeCell ref="A10:C11"/>
    <x:mergeCell ref="D10:F11"/>
    <x:mergeCell ref="A22:F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3" hidden="0" customWidth="1"/>
    <x:col min="3" max="3" width="13" hidden="0" customWidth="1"/>
    <x:col min="4" max="4" width="27" hidden="0" customWidth="1"/>
    <x:col min="5" max="5" width="8" hidden="0" customWidth="1"/>
    <x:col min="6" max="6" width="13" hidden="0" customWidth="1"/>
    <x:col min="7" max="7" width="13" hidden="0" customWidth="1"/>
    <x:col min="8" max="8" width="13" hidden="0" customWidth="1"/>
    <x:col min="9" max="9" width="18" hidden="0" customWidth="1"/>
    <x:col min="10" max="10" width="36" hidden="0" customWidth="1"/>
    <x:col min="11" max="11" width="46" hidden="0" customWidth="1"/>
  </x:cols>
  <x:sheetData>
    <x:row r="1">
      <x:c r="A1" s="29" t="str">
        <x:v>费用明细｜每笔截图金额与人民币换算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 s="29"/>
    </x:row>
    <x:row r="2">
      <x:c r="A2" s="29"/>
      <x:c r="B2" s="29"/>
      <x:c r="C2" s="29"/>
      <x:c r="D2" s="29"/>
      <x:c r="E2" s="29"/>
      <x:c r="F2" s="29"/>
      <x:c r="G2" s="29"/>
      <x:c r="H2" s="29"/>
      <x:c r="I2" s="29"/>
      <x:c r="J2" s="29"/>
      <x:c r="K2" s="29"/>
    </x:row>
    <x:row r="3">
      <x:c r="A3" s="30" t="str">
        <x:v>蓝色为截图/账单输入；人民币金额由公式计算。负数表示抵扣或冲减。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</x:row>
    <x:row r="5">
      <x:c r="A5" s="45" t="str">
        <x:v>账单月份</x:v>
      </x:c>
      <x:c r="B5" s="45" t="str">
        <x:v>日期</x:v>
      </x:c>
      <x:c r="C5" s="45" t="str">
        <x:v>供应商</x:v>
      </x:c>
      <x:c r="D5" s="45" t="str">
        <x:v>产品/费用项</x:v>
      </x:c>
      <x:c r="E5" s="45" t="str">
        <x:v>币种</x:v>
      </x:c>
      <x:c r="F5" s="45" t="str">
        <x:v>原币金额</x:v>
      </x:c>
      <x:c r="G5" s="45" t="str">
        <x:v>汇率</x:v>
      </x:c>
      <x:c r="H5" s="45" t="str">
        <x:v>人民币金额</x:v>
      </x:c>
      <x:c r="I5" s="45" t="str">
        <x:v>状态</x:v>
      </x:c>
      <x:c r="J5" s="45" t="str">
        <x:v>凭证文件</x:v>
      </x:c>
      <x:c r="K5" s="45" t="str">
        <x:v>备注</x:v>
      </x:c>
    </x:row>
    <x:row r="6">
      <x:c r="A6" s="46" t="str">
        <x:v>2026-08</x:v>
      </x:c>
      <x:c r="B6" s="47"/>
      <x:c r="C6" s="46" t="str">
        <x:v>OpenAI</x:v>
      </x:c>
      <x:c r="D6" s="54" t="str">
        <x:v>OPENAI</x:v>
      </x:c>
      <x:c r="E6" s="46" t="str">
        <x:v>GBP</x:v>
      </x:c>
      <x:c r="F6" s="48" t="n">
        <x:v>39.4</x:v>
      </x:c>
      <x:c r="G6" s="49" t="n">
        <x:f>IF(E6="GBP",'来源与汇率'!$B$4,1)</x:f>
        <x:v>9.153</x:v>
      </x:c>
      <x:c r="H6" s="49" t="n">
        <x:f>F6*G6</x:f>
        <x:v>360.6282</x:v>
      </x:c>
      <x:c r="I6" s="46" t="str">
        <x:v>金额已确认，日期待补</x:v>
      </x:c>
      <x:c r="J6" s="54" t="str">
        <x:v>443b2451c79863cfe93ad0683b96e2e7.jpg</x:v>
      </x:c>
      <x:c r="K6" s="54" t="str">
        <x:v>截图顶部日期被裁切；发生在2026-08-21之后，未推断具体日期</x:v>
      </x:c>
    </x:row>
    <x:row r="7">
      <x:c r="A7" s="46" t="str">
        <x:v>2026-08</x:v>
      </x:c>
      <x:c r="B7" s="47" t="n">
        <x:v>46255</x:v>
      </x:c>
      <x:c r="C7" s="46" t="str">
        <x:v>OpenAI</x:v>
      </x:c>
      <x:c r="D7" s="54" t="str">
        <x:v>OPENAI</x:v>
      </x:c>
      <x:c r="E7" s="46" t="str">
        <x:v>GBP</x:v>
      </x:c>
      <x:c r="F7" s="48" t="n">
        <x:v>35.52</x:v>
      </x:c>
      <x:c r="G7" s="49" t="n">
        <x:f>IF(E7="GBP",'来源与汇率'!$B$4,1)</x:f>
        <x:v>9.153</x:v>
      </x:c>
      <x:c r="H7" s="49" t="n">
        <x:f>F7*G7</x:f>
        <x:v>325.11456000000004</x:v>
      </x:c>
      <x:c r="I7" s="46" t="str">
        <x:v>已扣款</x:v>
      </x:c>
      <x:c r="J7" s="54" t="str">
        <x:v>443b2451c79863cfe93ad0683b96e2e7.jpg</x:v>
      </x:c>
      <x:c r="K7" s="54" t="str">
        <x:v>银行交易截图</x:v>
      </x:c>
    </x:row>
    <x:row r="8">
      <x:c r="A8" s="46" t="str">
        <x:v>2026-08</x:v>
      </x:c>
      <x:c r="B8" s="47" t="n">
        <x:v>46255</x:v>
      </x:c>
      <x:c r="C8" s="46" t="str">
        <x:v>OpenAI</x:v>
      </x:c>
      <x:c r="D8" s="54" t="str">
        <x:v>OPENAI</x:v>
      </x:c>
      <x:c r="E8" s="46" t="str">
        <x:v>GBP</x:v>
      </x:c>
      <x:c r="F8" s="48" t="n">
        <x:v>36.96</x:v>
      </x:c>
      <x:c r="G8" s="49" t="n">
        <x:f>IF(E8="GBP",'来源与汇率'!$B$4,1)</x:f>
        <x:v>9.153</x:v>
      </x:c>
      <x:c r="H8" s="49" t="n">
        <x:f>F8*G8</x:f>
        <x:v>338.29488000000003</x:v>
      </x:c>
      <x:c r="I8" s="46" t="str">
        <x:v>已扣款</x:v>
      </x:c>
      <x:c r="J8" s="54" t="str">
        <x:v>443b2451c79863cfe93ad0683b96e2e7.jpg</x:v>
      </x:c>
      <x:c r="K8" s="54" t="str">
        <x:v>银行交易截图</x:v>
      </x:c>
    </x:row>
    <x:row r="9">
      <x:c r="A9" s="46" t="str">
        <x:v>2026-08</x:v>
      </x:c>
      <x:c r="B9" s="47" t="n">
        <x:v>46254</x:v>
      </x:c>
      <x:c r="C9" s="46" t="str">
        <x:v>OpenAI</x:v>
      </x:c>
      <x:c r="D9" s="54" t="str">
        <x:v>OPENAI</x:v>
      </x:c>
      <x:c r="E9" s="46" t="str">
        <x:v>GBP</x:v>
      </x:c>
      <x:c r="F9" s="48" t="n">
        <x:v>36.88</x:v>
      </x:c>
      <x:c r="G9" s="49" t="n">
        <x:f>IF(E9="GBP",'来源与汇率'!$B$4,1)</x:f>
        <x:v>9.153</x:v>
      </x:c>
      <x:c r="H9" s="49" t="n">
        <x:f>F9*G9</x:f>
        <x:v>337.56264000000004</x:v>
      </x:c>
      <x:c r="I9" s="46" t="str">
        <x:v>已扣款</x:v>
      </x:c>
      <x:c r="J9" s="54" t="str">
        <x:v>443b2451c79863cfe93ad0683b96e2e7.jpg</x:v>
      </x:c>
      <x:c r="K9" s="54" t="str">
        <x:v>银行交易截图</x:v>
      </x:c>
    </x:row>
    <x:row r="10">
      <x:c r="A10" s="46" t="str">
        <x:v>2026-08</x:v>
      </x:c>
      <x:c r="B10" s="47" t="n">
        <x:v>46254</x:v>
      </x:c>
      <x:c r="C10" s="46" t="str">
        <x:v>OpenAI</x:v>
      </x:c>
      <x:c r="D10" s="54" t="str">
        <x:v>OPENAI</x:v>
      </x:c>
      <x:c r="E10" s="46" t="str">
        <x:v>GBP</x:v>
      </x:c>
      <x:c r="F10" s="48" t="n">
        <x:v>43.15</x:v>
      </x:c>
      <x:c r="G10" s="49" t="n">
        <x:f>IF(E10="GBP",'来源与汇率'!$B$4,1)</x:f>
        <x:v>9.153</x:v>
      </x:c>
      <x:c r="H10" s="49" t="n">
        <x:f>F10*G10</x:f>
        <x:v>394.95195</x:v>
      </x:c>
      <x:c r="I10" s="46" t="str">
        <x:v>已扣款</x:v>
      </x:c>
      <x:c r="J10" s="54" t="str">
        <x:v>443b2451c79863cfe93ad0683b96e2e7.jpg</x:v>
      </x:c>
      <x:c r="K10" s="54" t="str">
        <x:v>银行交易截图</x:v>
      </x:c>
    </x:row>
    <x:row r="11">
      <x:c r="A11" s="46" t="str">
        <x:v>2026-08</x:v>
      </x:c>
      <x:c r="B11" s="47" t="n">
        <x:v>46253</x:v>
      </x:c>
      <x:c r="C11" s="46" t="str">
        <x:v>OpenAI</x:v>
      </x:c>
      <x:c r="D11" s="54" t="str">
        <x:v>OPENAI</x:v>
      </x:c>
      <x:c r="E11" s="46" t="str">
        <x:v>GBP</x:v>
      </x:c>
      <x:c r="F11" s="48" t="n">
        <x:v>45.26</x:v>
      </x:c>
      <x:c r="G11" s="49" t="n">
        <x:f>IF(E11="GBP",'来源与汇率'!$B$4,1)</x:f>
        <x:v>9.153</x:v>
      </x:c>
      <x:c r="H11" s="49" t="n">
        <x:f>F11*G11</x:f>
        <x:v>414.26478000000003</x:v>
      </x:c>
      <x:c r="I11" s="46" t="str">
        <x:v>已扣款</x:v>
      </x:c>
      <x:c r="J11" s="54" t="str">
        <x:v>443b2451c79863cfe93ad0683b96e2e7.jpg</x:v>
      </x:c>
      <x:c r="K11" s="54" t="str">
        <x:v>银行交易截图</x:v>
      </x:c>
    </x:row>
    <x:row r="12">
      <x:c r="A12" s="46" t="str">
        <x:v>2026-08</x:v>
      </x:c>
      <x:c r="B12" s="47" t="n">
        <x:v>46253</x:v>
      </x:c>
      <x:c r="C12" s="46" t="str">
        <x:v>OpenAI</x:v>
      </x:c>
      <x:c r="D12" s="54" t="str">
        <x:v>OPENAI</x:v>
      </x:c>
      <x:c r="E12" s="46" t="str">
        <x:v>GBP</x:v>
      </x:c>
      <x:c r="F12" s="48" t="n">
        <x:v>44.35</x:v>
      </x:c>
      <x:c r="G12" s="49" t="n">
        <x:f>IF(E12="GBP",'来源与汇率'!$B$4,1)</x:f>
        <x:v>9.153</x:v>
      </x:c>
      <x:c r="H12" s="49" t="n">
        <x:f>F12*G12</x:f>
        <x:v>405.93555000000003</x:v>
      </x:c>
      <x:c r="I12" s="46" t="str">
        <x:v>已扣款</x:v>
      </x:c>
      <x:c r="J12" s="54" t="str">
        <x:v>443b2451c79863cfe93ad0683b96e2e7.jpg</x:v>
      </x:c>
      <x:c r="K12" s="54" t="str">
        <x:v>银行交易截图</x:v>
      </x:c>
    </x:row>
    <x:row r="13">
      <x:c r="A13" s="46" t="str">
        <x:v>2026-08</x:v>
      </x:c>
      <x:c r="B13" s="47" t="n">
        <x:v>46253</x:v>
      </x:c>
      <x:c r="C13" s="46" t="str">
        <x:v>OpenAI</x:v>
      </x:c>
      <x:c r="D13" s="54" t="str">
        <x:v>OPENAI</x:v>
      </x:c>
      <x:c r="E13" s="46" t="str">
        <x:v>GBP</x:v>
      </x:c>
      <x:c r="F13" s="48" t="n">
        <x:v>42.14</x:v>
      </x:c>
      <x:c r="G13" s="49" t="n">
        <x:f>IF(E13="GBP",'来源与汇率'!$B$4,1)</x:f>
        <x:v>9.153</x:v>
      </x:c>
      <x:c r="H13" s="49" t="n">
        <x:f>F13*G13</x:f>
        <x:v>385.70742</x:v>
      </x:c>
      <x:c r="I13" s="46" t="str">
        <x:v>已扣款</x:v>
      </x:c>
      <x:c r="J13" s="54" t="str">
        <x:v>d785496b1ed2e0d7603d7fd8c1c87a67.jpg</x:v>
      </x:c>
      <x:c r="K13" s="54" t="str">
        <x:v>与上一张截图连续，位于2026-08-19分组内</x:v>
      </x:c>
    </x:row>
    <x:row r="14">
      <x:c r="A14" s="46" t="str">
        <x:v>2026-08</x:v>
      </x:c>
      <x:c r="B14" s="47" t="n">
        <x:v>46252</x:v>
      </x:c>
      <x:c r="C14" s="46" t="str">
        <x:v>OpenAI</x:v>
      </x:c>
      <x:c r="D14" s="54" t="str">
        <x:v>OPENAI</x:v>
      </x:c>
      <x:c r="E14" s="46" t="str">
        <x:v>GBP</x:v>
      </x:c>
      <x:c r="F14" s="48" t="n">
        <x:v>44.26</x:v>
      </x:c>
      <x:c r="G14" s="49" t="n">
        <x:f>IF(E14="GBP",'来源与汇率'!$B$4,1)</x:f>
        <x:v>9.153</x:v>
      </x:c>
      <x:c r="H14" s="49" t="n">
        <x:f>F14*G14</x:f>
        <x:v>405.11178</x:v>
      </x:c>
      <x:c r="I14" s="46" t="str">
        <x:v>已扣款</x:v>
      </x:c>
      <x:c r="J14" s="54" t="str">
        <x:v>d785496b1ed2e0d7603d7fd8c1c87a67.jpg</x:v>
      </x:c>
      <x:c r="K14" s="54" t="str">
        <x:v>银行交易截图</x:v>
      </x:c>
    </x:row>
    <x:row r="15">
      <x:c r="A15" s="46" t="str">
        <x:v>2026-08</x:v>
      </x:c>
      <x:c r="B15" s="47" t="n">
        <x:v>46252</x:v>
      </x:c>
      <x:c r="C15" s="46" t="str">
        <x:v>OpenAI</x:v>
      </x:c>
      <x:c r="D15" s="54" t="str">
        <x:v>OPENAI</x:v>
      </x:c>
      <x:c r="E15" s="46" t="str">
        <x:v>GBP</x:v>
      </x:c>
      <x:c r="F15" s="48" t="n">
        <x:v>44.21</x:v>
      </x:c>
      <x:c r="G15" s="49" t="n">
        <x:f>IF(E15="GBP",'来源与汇率'!$B$4,1)</x:f>
        <x:v>9.153</x:v>
      </x:c>
      <x:c r="H15" s="49" t="n">
        <x:f>F15*G15</x:f>
        <x:v>404.65413</x:v>
      </x:c>
      <x:c r="I15" s="46" t="str">
        <x:v>已扣款</x:v>
      </x:c>
      <x:c r="J15" s="54" t="str">
        <x:v>d785496b1ed2e0d7603d7fd8c1c87a67.jpg</x:v>
      </x:c>
      <x:c r="K15" s="54" t="str">
        <x:v>银行交易截图</x:v>
      </x:c>
    </x:row>
    <x:row r="16">
      <x:c r="A16" s="46" t="str">
        <x:v>2026-08</x:v>
      </x:c>
      <x:c r="B16" s="47" t="n">
        <x:v>46252</x:v>
      </x:c>
      <x:c r="C16" s="46" t="str">
        <x:v>OpenAI</x:v>
      </x:c>
      <x:c r="D16" s="54" t="str">
        <x:v>OPENAI</x:v>
      </x:c>
      <x:c r="E16" s="46" t="str">
        <x:v>GBP</x:v>
      </x:c>
      <x:c r="F16" s="48" t="n">
        <x:v>45.26</x:v>
      </x:c>
      <x:c r="G16" s="49" t="n">
        <x:f>IF(E16="GBP",'来源与汇率'!$B$4,1)</x:f>
        <x:v>9.153</x:v>
      </x:c>
      <x:c r="H16" s="49" t="n">
        <x:f>F16*G16</x:f>
        <x:v>414.26478000000003</x:v>
      </x:c>
      <x:c r="I16" s="46" t="str">
        <x:v>已扣款</x:v>
      </x:c>
      <x:c r="J16" s="54" t="str">
        <x:v>d785496b1ed2e0d7603d7fd8c1c87a67.jpg</x:v>
      </x:c>
      <x:c r="K16" s="54" t="str">
        <x:v>银行交易截图</x:v>
      </x:c>
    </x:row>
    <x:row r="17">
      <x:c r="A17" s="46" t="str">
        <x:v>2026-08</x:v>
      </x:c>
      <x:c r="B17" s="47" t="n">
        <x:v>46252</x:v>
      </x:c>
      <x:c r="C17" s="46" t="str">
        <x:v>OpenAI</x:v>
      </x:c>
      <x:c r="D17" s="54" t="str">
        <x:v>OPENAI* CHATGPT CR</x:v>
      </x:c>
      <x:c r="E17" s="46" t="str">
        <x:v>GBP</x:v>
      </x:c>
      <x:c r="F17" s="48" t="n">
        <x:v>48</x:v>
      </x:c>
      <x:c r="G17" s="49" t="n">
        <x:f>IF(E17="GBP",'来源与汇率'!$B$4,1)</x:f>
        <x:v>9.153</x:v>
      </x:c>
      <x:c r="H17" s="49" t="n">
        <x:f>F17*G17</x:f>
        <x:v>439.34400000000005</x:v>
      </x:c>
      <x:c r="I17" s="46" t="str">
        <x:v>已扣款</x:v>
      </x:c>
      <x:c r="J17" s="54" t="str">
        <x:v>d785496b1ed2e0d7603d7fd8c1c87a67.jpg</x:v>
      </x:c>
      <x:c r="K17" s="54" t="str">
        <x:v>按银行商户描述原样记录</x:v>
      </x:c>
    </x:row>
    <x:row r="18">
      <x:c r="A18" s="46" t="str">
        <x:v>2026-08</x:v>
      </x:c>
      <x:c r="B18" s="47" t="n">
        <x:v>46239</x:v>
      </x:c>
      <x:c r="C18" s="46" t="str">
        <x:v>OpenAI</x:v>
      </x:c>
      <x:c r="D18" s="54" t="str">
        <x:v>OPENAI *CHATGPT SU</x:v>
      </x:c>
      <x:c r="E18" s="46" t="str">
        <x:v>GBP</x:v>
      </x:c>
      <x:c r="F18" s="48" t="n">
        <x:v>89</x:v>
      </x:c>
      <x:c r="G18" s="49" t="n">
        <x:f>IF(E18="GBP",'来源与汇率'!$B$4,1)</x:f>
        <x:v>9.153</x:v>
      </x:c>
      <x:c r="H18" s="49" t="n">
        <x:f>F18*G18</x:f>
        <x:v>814.6170000000001</x:v>
      </x:c>
      <x:c r="I18" s="46" t="str">
        <x:v>已扣款</x:v>
      </x:c>
      <x:c r="J18" s="54" t="str">
        <x:v>d785496b1ed2e0d7603d7fd8c1c87a67.jpg</x:v>
      </x:c>
      <x:c r="K18" s="54" t="str">
        <x:v>按银行商户描述原样记录</x:v>
      </x:c>
    </x:row>
    <x:row r="19">
      <x:c r="A19" s="46" t="str">
        <x:v>2026-08</x:v>
      </x:c>
      <x:c r="B19" s="47" t="n">
        <x:v>46239</x:v>
      </x:c>
      <x:c r="C19" s="46" t="str">
        <x:v>OpenAI</x:v>
      </x:c>
      <x:c r="D19" s="54" t="str">
        <x:v>OPENAI* CHATGPT CR</x:v>
      </x:c>
      <x:c r="E19" s="46" t="str">
        <x:v>GBP</x:v>
      </x:c>
      <x:c r="F19" s="48" t="n">
        <x:v>24</x:v>
      </x:c>
      <x:c r="G19" s="49" t="n">
        <x:f>IF(E19="GBP",'来源与汇率'!$B$4,1)</x:f>
        <x:v>9.153</x:v>
      </x:c>
      <x:c r="H19" s="49" t="n">
        <x:f>F19*G19</x:f>
        <x:v>219.67200000000003</x:v>
      </x:c>
      <x:c r="I19" s="46" t="str">
        <x:v>已扣款</x:v>
      </x:c>
      <x:c r="J19" s="54" t="str">
        <x:v>d785496b1ed2e0d7603d7fd8c1c87a67.jpg</x:v>
      </x:c>
      <x:c r="K19" s="54" t="str">
        <x:v>按银行商户描述原样记录</x:v>
      </x:c>
    </x:row>
    <x:row r="20">
      <x:c r="A20" s="46" t="str">
        <x:v>2026-08</x:v>
      </x:c>
      <x:c r="B20" s="47" t="n">
        <x:v>46238</x:v>
      </x:c>
      <x:c r="C20" s="46" t="str">
        <x:v>OpenAI</x:v>
      </x:c>
      <x:c r="D20" s="54" t="str">
        <x:v>OPENAI* CHATGPT CR</x:v>
      </x:c>
      <x:c r="E20" s="46" t="str">
        <x:v>GBP</x:v>
      </x:c>
      <x:c r="F20" s="48" t="n">
        <x:v>24</x:v>
      </x:c>
      <x:c r="G20" s="49" t="n">
        <x:f>IF(E20="GBP",'来源与汇率'!$B$4,1)</x:f>
        <x:v>9.153</x:v>
      </x:c>
      <x:c r="H20" s="49" t="n">
        <x:f>F20*G20</x:f>
        <x:v>219.67200000000003</x:v>
      </x:c>
      <x:c r="I20" s="46" t="str">
        <x:v>已扣款</x:v>
      </x:c>
      <x:c r="J20" s="54" t="str">
        <x:v>621740986fa1ea65b1279ffa88c02765.jpg</x:v>
      </x:c>
      <x:c r="K20" s="54" t="str">
        <x:v>按银行商户描述原样记录</x:v>
      </x:c>
    </x:row>
    <x:row r="21">
      <x:c r="A21" s="46" t="str">
        <x:v>2026-08</x:v>
      </x:c>
      <x:c r="B21" s="47" t="n">
        <x:v>46238</x:v>
      </x:c>
      <x:c r="C21" s="46" t="str">
        <x:v>OpenAI</x:v>
      </x:c>
      <x:c r="D21" s="54" t="str">
        <x:v>OPENAI* CHATGPT CR</x:v>
      </x:c>
      <x:c r="E21" s="46" t="str">
        <x:v>GBP</x:v>
      </x:c>
      <x:c r="F21" s="48" t="n">
        <x:v>48</x:v>
      </x:c>
      <x:c r="G21" s="49" t="n">
        <x:f>IF(E21="GBP",'来源与汇率'!$B$4,1)</x:f>
        <x:v>9.153</x:v>
      </x:c>
      <x:c r="H21" s="49" t="n">
        <x:f>F21*G21</x:f>
        <x:v>439.34400000000005</x:v>
      </x:c>
      <x:c r="I21" s="46" t="str">
        <x:v>已扣款</x:v>
      </x:c>
      <x:c r="J21" s="54" t="str">
        <x:v>621740986fa1ea65b1279ffa88c02765.jpg</x:v>
      </x:c>
      <x:c r="K21" s="54" t="str">
        <x:v>按银行商户描述原样记录</x:v>
      </x:c>
    </x:row>
    <x:row r="22">
      <x:c r="A22" s="46" t="str">
        <x:v>2026-08</x:v>
      </x:c>
      <x:c r="B22" s="47" t="n">
        <x:v>46252</x:v>
      </x:c>
      <x:c r="C22" s="46" t="str">
        <x:v>Anthropic</x:v>
      </x:c>
      <x:c r="D22" s="54" t="str">
        <x:v>ANTHROPIC* CLAUDE</x:v>
      </x:c>
      <x:c r="E22" s="46" t="str">
        <x:v>GBP</x:v>
      </x:c>
      <x:c r="F22" s="48" t="n">
        <x:v>18</x:v>
      </x:c>
      <x:c r="G22" s="49" t="n">
        <x:f>IF(E22="GBP",'来源与汇率'!$B$4,1)</x:f>
        <x:v>9.153</x:v>
      </x:c>
      <x:c r="H22" s="49" t="n">
        <x:f>F22*G22</x:f>
        <x:v>164.75400000000002</x:v>
      </x:c>
      <x:c r="I22" s="46" t="str">
        <x:v>已扣款</x:v>
      </x:c>
      <x:c r="J22" s="54" t="str">
        <x:v>1f82652020a6821bae6db3b5c60ea130.jpg</x:v>
      </x:c>
      <x:c r="K22" s="54" t="str">
        <x:v>银行交易截图</x:v>
      </x:c>
    </x:row>
    <x:row r="23">
      <x:c r="A23" s="46" t="str">
        <x:v>2026-07</x:v>
      </x:c>
      <x:c r="B23" s="47" t="n">
        <x:v>46233</x:v>
      </x:c>
      <x:c r="C23" s="46" t="str">
        <x:v>Anthropic</x:v>
      </x:c>
      <x:c r="D23" s="54" t="str">
        <x:v>ANTHROPIC</x:v>
      </x:c>
      <x:c r="E23" s="46" t="str">
        <x:v>GBP</x:v>
      </x:c>
      <x:c r="F23" s="48" t="n">
        <x:v>12</x:v>
      </x:c>
      <x:c r="G23" s="49" t="n">
        <x:f>IF(E23="GBP",'来源与汇率'!$B$4,1)</x:f>
        <x:v>9.153</x:v>
      </x:c>
      <x:c r="H23" s="49" t="n">
        <x:f>F23*G23</x:f>
        <x:v>109.83600000000001</x:v>
      </x:c>
      <x:c r="I23" s="46" t="str">
        <x:v>已扣款</x:v>
      </x:c>
      <x:c r="J23" s="54" t="str">
        <x:v>1f82652020a6821bae6db3b5c60ea130.jpg</x:v>
      </x:c>
      <x:c r="K23" s="54" t="str">
        <x:v>银行交易截图</x:v>
      </x:c>
    </x:row>
    <x:row r="24">
      <x:c r="A24" s="46" t="str">
        <x:v>2026-07</x:v>
      </x:c>
      <x:c r="B24" s="47" t="n">
        <x:v>46232</x:v>
      </x:c>
      <x:c r="C24" s="46" t="str">
        <x:v>Anthropic</x:v>
      </x:c>
      <x:c r="D24" s="54" t="str">
        <x:v>ANTHROPIC</x:v>
      </x:c>
      <x:c r="E24" s="46" t="str">
        <x:v>GBP</x:v>
      </x:c>
      <x:c r="F24" s="48" t="n">
        <x:v>24</x:v>
      </x:c>
      <x:c r="G24" s="49" t="n">
        <x:f>IF(E24="GBP",'来源与汇率'!$B$4,1)</x:f>
        <x:v>9.153</x:v>
      </x:c>
      <x:c r="H24" s="49" t="n">
        <x:f>F24*G24</x:f>
        <x:v>219.67200000000003</x:v>
      </x:c>
      <x:c r="I24" s="46" t="str">
        <x:v>已扣款</x:v>
      </x:c>
      <x:c r="J24" s="54" t="str">
        <x:v>1f82652020a6821bae6db3b5c60ea130.jpg</x:v>
      </x:c>
      <x:c r="K24" s="54" t="str">
        <x:v>银行交易截图</x:v>
      </x:c>
    </x:row>
    <x:row r="25">
      <x:c r="A25" s="46" t="str">
        <x:v>2026-07</x:v>
      </x:c>
      <x:c r="B25" s="47" t="n">
        <x:v>46223</x:v>
      </x:c>
      <x:c r="C25" s="46" t="str">
        <x:v>Anthropic</x:v>
      </x:c>
      <x:c r="D25" s="54" t="str">
        <x:v>ANTHROPIC* CLAUDE</x:v>
      </x:c>
      <x:c r="E25" s="46" t="str">
        <x:v>GBP</x:v>
      </x:c>
      <x:c r="F25" s="48" t="n">
        <x:v>18</x:v>
      </x:c>
      <x:c r="G25" s="49" t="n">
        <x:f>IF(E25="GBP",'来源与汇率'!$B$4,1)</x:f>
        <x:v>9.153</x:v>
      </x:c>
      <x:c r="H25" s="49" t="n">
        <x:f>F25*G25</x:f>
        <x:v>164.75400000000002</x:v>
      </x:c>
      <x:c r="I25" s="46" t="str">
        <x:v>已扣款</x:v>
      </x:c>
      <x:c r="J25" s="54" t="str">
        <x:v>1f82652020a6821bae6db3b5c60ea130.jpg</x:v>
      </x:c>
      <x:c r="K25" s="54" t="str">
        <x:v>银行交易截图</x:v>
      </x:c>
    </x:row>
    <x:row r="26">
      <x:c r="A26" s="46" t="str">
        <x:v>2026-07</x:v>
      </x:c>
      <x:c r="B26" s="47" t="n">
        <x:v>46220</x:v>
      </x:c>
      <x:c r="C26" s="46" t="str">
        <x:v>Anthropic</x:v>
      </x:c>
      <x:c r="D26" s="54" t="str">
        <x:v>ANTHROPIC</x:v>
      </x:c>
      <x:c r="E26" s="46" t="str">
        <x:v>GBP</x:v>
      </x:c>
      <x:c r="F26" s="48" t="n">
        <x:v>36</x:v>
      </x:c>
      <x:c r="G26" s="49" t="n">
        <x:f>IF(E26="GBP",'来源与汇率'!$B$4,1)</x:f>
        <x:v>9.153</x:v>
      </x:c>
      <x:c r="H26" s="49" t="n">
        <x:f>F26*G26</x:f>
        <x:v>329.50800000000004</x:v>
      </x:c>
      <x:c r="I26" s="46" t="str">
        <x:v>已扣款</x:v>
      </x:c>
      <x:c r="J26" s="54" t="str">
        <x:v>1f82652020a6821bae6db3b5c60ea130.jpg</x:v>
      </x:c>
      <x:c r="K26" s="54" t="str">
        <x:v>银行交易截图；截图底部2026-06-18分组未显示金额，未计入</x:v>
      </x:c>
    </x:row>
    <x:row r="27">
      <x:c r="A27" s="46" t="str">
        <x:v>2026-08</x:v>
      </x:c>
      <x:c r="B27" s="47"/>
      <x:c r="C27" s="46" t="str">
        <x:v>腾讯云</x:v>
      </x:c>
      <x:c r="D27" s="54" t="str">
        <x:v>云数据库 PostgreSQL</x:v>
      </x:c>
      <x:c r="E27" s="46" t="str">
        <x:v>CNY</x:v>
      </x:c>
      <x:c r="F27" s="48" t="n">
        <x:v>397.77</x:v>
      </x:c>
      <x:c r="G27" s="49" t="n">
        <x:f>IF(E27="GBP",'来源与汇率'!$B$4,1)</x:f>
        <x:v>1</x:v>
      </x:c>
      <x:c r="H27" s="49" t="n">
        <x:f>F27*G27</x:f>
        <x:v>397.77</x:v>
      </x:c>
      <x:c r="I27" s="46" t="str">
        <x:v>账单确认</x:v>
      </x:c>
      <x:c r="J27" s="54" t="str">
        <x:v>a37bdd6bfb0279e26da64dcd66165cf7.jpg</x:v>
      </x:c>
      <x:c r="K27" s="54" t="str">
        <x:v>2026-08按产品汇总</x:v>
      </x:c>
    </x:row>
    <x:row r="28">
      <x:c r="A28" s="46" t="str">
        <x:v>2026-08</x:v>
      </x:c>
      <x:c r="B28" s="47" t="n">
        <x:v>46255</x:v>
      </x:c>
      <x:c r="C28" s="46" t="str">
        <x:v>腾讯云</x:v>
      </x:c>
      <x:c r="D28" s="54" t="str">
        <x:v>轻量应用服务器</x:v>
      </x:c>
      <x:c r="E28" s="46" t="str">
        <x:v>CNY</x:v>
      </x:c>
      <x:c r="F28" s="48" t="n">
        <x:v>192</x:v>
      </x:c>
      <x:c r="G28" s="49" t="n">
        <x:f>IF(E28="GBP",'来源与汇率'!$B$4,1)</x:f>
        <x:v>1</x:v>
      </x:c>
      <x:c r="H28" s="49" t="n">
        <x:f>F28*G28</x:f>
        <x:v>192</x:v>
      </x:c>
      <x:c r="I28" s="46" t="str">
        <x:v>已付款</x:v>
      </x:c>
      <x:c r="J28" s="54" t="str">
        <x:v>a37bdd6bfb0279e26da64dcd66165cf7.jpg</x:v>
      </x:c>
      <x:c r="K28" s="54" t="str">
        <x:v>1年；与既有项目账本一致</x:v>
      </x:c>
    </x:row>
    <x:row r="29">
      <x:c r="A29" s="46" t="str">
        <x:v>2026-08</x:v>
      </x:c>
      <x:c r="B29" s="47" t="n">
        <x:v>46255</x:v>
      </x:c>
      <x:c r="C29" s="46" t="str">
        <x:v>腾讯云</x:v>
      </x:c>
      <x:c r="D29" s="54" t="str">
        <x:v>云开发标准版</x:v>
      </x:c>
      <x:c r="E29" s="46" t="str">
        <x:v>CNY</x:v>
      </x:c>
      <x:c r="F29" s="48" t="n">
        <x:v>179.1</x:v>
      </x:c>
      <x:c r="G29" s="49" t="n">
        <x:f>IF(E29="GBP",'来源与汇率'!$B$4,1)</x:f>
        <x:v>1</x:v>
      </x:c>
      <x:c r="H29" s="49" t="n">
        <x:f>F29*G29</x:f>
        <x:v>179.1</x:v>
      </x:c>
      <x:c r="I29" s="46" t="str">
        <x:v>已付款</x:v>
      </x:c>
      <x:c r="J29" s="54" t="str">
        <x:v>b3c4ff87d4d0f85ab216fd221644a006.jpg</x:v>
      </x:c>
      <x:c r="K29" s="54" t="str">
        <x:v>1个月；到期时间截图显示2026-09-21</x:v>
      </x:c>
    </x:row>
    <x:row r="30">
      <x:c r="A30" s="46" t="str">
        <x:v>2026-08</x:v>
      </x:c>
      <x:c r="B30" s="47"/>
      <x:c r="C30" s="46" t="str">
        <x:v>腾讯云</x:v>
      </x:c>
      <x:c r="D30" s="54" t="str">
        <x:v>域名注册</x:v>
      </x:c>
      <x:c r="E30" s="46" t="str">
        <x:v>CNY</x:v>
      </x:c>
      <x:c r="F30" s="48" t="n">
        <x:v>10</x:v>
      </x:c>
      <x:c r="G30" s="49" t="n">
        <x:f>IF(E30="GBP",'来源与汇率'!$B$4,1)</x:f>
        <x:v>1</x:v>
      </x:c>
      <x:c r="H30" s="49" t="n">
        <x:f>F30*G30</x:f>
        <x:v>10</x:v>
      </x:c>
      <x:c r="I30" s="46" t="str">
        <x:v>账单确认</x:v>
      </x:c>
      <x:c r="J30" s="54" t="str">
        <x:v>a37bdd6bfb0279e26da64dcd66165cf7.jpg</x:v>
      </x:c>
      <x:c r="K30" s="54" t="str">
        <x:v>2026-08按产品汇总</x:v>
      </x:c>
    </x:row>
    <x:row r="31">
      <x:c r="A31" s="46" t="str">
        <x:v>2026-08</x:v>
      </x:c>
      <x:c r="B31" s="47"/>
      <x:c r="C31" s="46" t="str">
        <x:v>腾讯云</x:v>
      </x:c>
      <x:c r="D31" s="54" t="str">
        <x:v>其他（抵扣/冲减）</x:v>
      </x:c>
      <x:c r="E31" s="46" t="str">
        <x:v>CNY</x:v>
      </x:c>
      <x:c r="F31" s="48" t="n">
        <x:v>-0.53</x:v>
      </x:c>
      <x:c r="G31" s="49" t="n">
        <x:f>IF(E31="GBP",'来源与汇率'!$B$4,1)</x:f>
        <x:v>1</x:v>
      </x:c>
      <x:c r="H31" s="49" t="n">
        <x:f>F31*G31</x:f>
        <x:v>-0.53</x:v>
      </x:c>
      <x:c r="I31" s="46" t="str">
        <x:v>账单确认</x:v>
      </x:c>
      <x:c r="J31" s="54" t="str">
        <x:v>a37bdd6bfb0279e26da64dcd66165cf7.jpg</x:v>
      </x:c>
      <x:c r="K31" s="54" t="str">
        <x:v>按截图负数原样记录，使腾讯云合计与778.34元对齐</x:v>
      </x:c>
    </x:row>
    <x:row r="32">
      <x:c r="A32" s="46" t="str">
        <x:v>2026-07</x:v>
      </x:c>
      <x:c r="B32" s="47"/>
      <x:c r="C32" s="46" t="str">
        <x:v>阿里云</x:v>
      </x:c>
      <x:c r="D32" s="54" t="str">
        <x:v>百炼知识库（RAG）后付费</x:v>
      </x:c>
      <x:c r="E32" s="46" t="str">
        <x:v>CNY</x:v>
      </x:c>
      <x:c r="F32" s="48" t="n">
        <x:v>0.52</x:v>
      </x:c>
      <x:c r="G32" s="49" t="n">
        <x:f>IF(E32="GBP",'来源与汇率'!$B$4,1)</x:f>
        <x:v>1</x:v>
      </x:c>
      <x:c r="H32" s="49" t="n">
        <x:f>F32*G32</x:f>
        <x:v>0.52</x:v>
      </x:c>
      <x:c r="I32" s="46" t="str">
        <x:v>账单确认</x:v>
      </x:c>
      <x:c r="J32" s="54" t="str">
        <x:v>7943bfe1e030cdc7fac2476b65ef10fa.jpg</x:v>
      </x:c>
      <x:c r="K32" s="54" t="str">
        <x:v>消费周期2026-07-15至2026-08-01</x:v>
      </x:c>
    </x:row>
    <x:row r="33">
      <x:c r="A33" s="46" t="str">
        <x:v>2026-07</x:v>
      </x:c>
      <x:c r="B33" s="47"/>
      <x:c r="C33" s="46" t="str">
        <x:v>阿里云</x:v>
      </x:c>
      <x:c r="D33" s="54" t="str">
        <x:v>百炼大模型推理</x:v>
      </x:c>
      <x:c r="E33" s="46" t="str">
        <x:v>CNY</x:v>
      </x:c>
      <x:c r="F33" s="48" t="n">
        <x:v>9.01</x:v>
      </x:c>
      <x:c r="G33" s="49" t="n">
        <x:f>IF(E33="GBP",'来源与汇率'!$B$4,1)</x:f>
        <x:v>1</x:v>
      </x:c>
      <x:c r="H33" s="49" t="n">
        <x:f>F33*G33</x:f>
        <x:v>9.01</x:v>
      </x:c>
      <x:c r="I33" s="46" t="str">
        <x:v>账单确认</x:v>
      </x:c>
      <x:c r="J33" s="54" t="str">
        <x:v>7943bfe1e030cdc7fac2476b65ef10fa.jpg</x:v>
      </x:c>
      <x:c r="K33" s="54" t="str">
        <x:v>消费周期2026-07-15至2026-07-31</x:v>
      </x:c>
    </x:row>
    <x:row r="34">
      <x:c r="A34" s="46" t="str">
        <x:v>2026-08</x:v>
      </x:c>
      <x:c r="B34" s="47"/>
      <x:c r="C34" s="46" t="str">
        <x:v>阿里云</x:v>
      </x:c>
      <x:c r="D34" s="54" t="str">
        <x:v>弹性公网IP</x:v>
      </x:c>
      <x:c r="E34" s="46" t="str">
        <x:v>CNY</x:v>
      </x:c>
      <x:c r="F34" s="48" t="n">
        <x:v>0.02</x:v>
      </x:c>
      <x:c r="G34" s="49" t="n">
        <x:f>IF(E34="GBP",'来源与汇率'!$B$4,1)</x:f>
        <x:v>1</x:v>
      </x:c>
      <x:c r="H34" s="49" t="n">
        <x:f>F34*G34</x:f>
        <x:v>0.02</x:v>
      </x:c>
      <x:c r="I34" s="46" t="str">
        <x:v>账单确认</x:v>
      </x:c>
      <x:c r="J34" s="54" t="str">
        <x:v>50c2ca74cd9b86c9929e722e213beb2b.jpg</x:v>
      </x:c>
      <x:c r="K34" s="54" t="str">
        <x:v>消费时间2026-08-12 15:00至16:00</x:v>
      </x:c>
    </x:row>
    <x:row r="35">
      <x:c r="A35" s="46" t="str">
        <x:v>2026-08</x:v>
      </x:c>
      <x:c r="B35" s="47"/>
      <x:c r="C35" s="46" t="str">
        <x:v>阿里云</x:v>
      </x:c>
      <x:c r="D35" s="54" t="str">
        <x:v>NAT网关（按量付费）</x:v>
      </x:c>
      <x:c r="E35" s="46" t="str">
        <x:v>CNY</x:v>
      </x:c>
      <x:c r="F35" s="48" t="n">
        <x:v>0.19</x:v>
      </x:c>
      <x:c r="G35" s="49" t="n">
        <x:f>IF(E35="GBP",'来源与汇率'!$B$4,1)</x:f>
        <x:v>1</x:v>
      </x:c>
      <x:c r="H35" s="49" t="n">
        <x:f>F35*G35</x:f>
        <x:v>0.19</x:v>
      </x:c>
      <x:c r="I35" s="46" t="str">
        <x:v>账单确认</x:v>
      </x:c>
      <x:c r="J35" s="54" t="str">
        <x:v>7ac68ec4edbf2af7e283be54568429bc.jpg</x:v>
      </x:c>
      <x:c r="K35" s="54" t="str">
        <x:v>消费时间2026-08-12 15:00至16:00</x:v>
      </x:c>
    </x:row>
    <x:row r="36">
      <x:c r="A36" s="46" t="str">
        <x:v>2026-08</x:v>
      </x:c>
      <x:c r="B36" s="47"/>
      <x:c r="C36" s="46" t="str">
        <x:v>阿里云</x:v>
      </x:c>
      <x:c r="D36" s="54" t="str">
        <x:v>对象存储OSS</x:v>
      </x:c>
      <x:c r="E36" s="46" t="str">
        <x:v>CNY</x:v>
      </x:c>
      <x:c r="F36" s="48" t="n">
        <x:v>0.13</x:v>
      </x:c>
      <x:c r="G36" s="49" t="n">
        <x:f>IF(E36="GBP",'来源与汇率'!$B$4,1)</x:f>
        <x:v>1</x:v>
      </x:c>
      <x:c r="H36" s="49" t="n">
        <x:f>F36*G36</x:f>
        <x:v>0.13</x:v>
      </x:c>
      <x:c r="I36" s="46" t="str">
        <x:v>账单确认</x:v>
      </x:c>
      <x:c r="J36" s="54" t="str">
        <x:v>7ac68ec4edbf2af7e283be54568429bc.jpg</x:v>
      </x:c>
      <x:c r="K36" s="54" t="str">
        <x:v>消费周期2026-08-03至2026-08-31</x:v>
      </x:c>
    </x:row>
    <x:row r="37">
      <x:c r="A37" s="46" t="str">
        <x:v>2026-08</x:v>
      </x:c>
      <x:c r="B37" s="47"/>
      <x:c r="C37" s="46" t="str">
        <x:v>阿里云</x:v>
      </x:c>
      <x:c r="D37" s="54" t="str">
        <x:v>百炼大模型推理</x:v>
      </x:c>
      <x:c r="E37" s="46" t="str">
        <x:v>CNY</x:v>
      </x:c>
      <x:c r="F37" s="48" t="n">
        <x:v>6.51</x:v>
      </x:c>
      <x:c r="G37" s="49" t="n">
        <x:f>IF(E37="GBP",'来源与汇率'!$B$4,1)</x:f>
        <x:v>1</x:v>
      </x:c>
      <x:c r="H37" s="49" t="n">
        <x:f>F37*G37</x:f>
        <x:v>6.51</x:v>
      </x:c>
      <x:c r="I37" s="46" t="str">
        <x:v>账单确认</x:v>
      </x:c>
      <x:c r="J37" s="54" t="str">
        <x:v>7ac68ec4edbf2af7e283be54568429bc.jpg</x:v>
      </x:c>
      <x:c r="K37" s="54" t="str">
        <x:v>消费周期2026-08-03至2026-08-31</x:v>
      </x:c>
    </x:row>
    <x:row r="38">
      <x:c r="A38" s="50" t="str">
        <x:v>2026-08</x:v>
      </x:c>
      <x:c r="B38" s="51"/>
      <x:c r="C38" s="50" t="str">
        <x:v>阿里云</x:v>
      </x:c>
      <x:c r="D38" s="55" t="str">
        <x:v>百炼知识库（RAG）后付费</x:v>
      </x:c>
      <x:c r="E38" s="50" t="str">
        <x:v>CNY</x:v>
      </x:c>
      <x:c r="F38" s="52" t="n">
        <x:v>43.26</x:v>
      </x:c>
      <x:c r="G38" s="53" t="n">
        <x:f>IF(E38="GBP",'来源与汇率'!$B$4,1)</x:f>
        <x:v>1</x:v>
      </x:c>
      <x:c r="H38" s="53" t="n">
        <x:f>F38*G38</x:f>
        <x:v>43.26</x:v>
      </x:c>
      <x:c r="I38" s="50" t="str">
        <x:v>账单确认</x:v>
      </x:c>
      <x:c r="J38" s="55" t="str">
        <x:v>7ac68ec4edbf2af7e283be54568429bc.jpg</x:v>
      </x:c>
      <x:c r="K38" s="55" t="str">
        <x:v>消费周期2026-08-01至2026-08-31；截图中的0元项目不计入支出</x:v>
      </x:c>
    </x:row>
  </x:sheetData>
  <x:mergeCells>
    <x:mergeCell ref="A1:K2"/>
    <x:mergeCell ref="A3:K3"/>
  </x:mergeCells>
  <x:pageMargins left="0.7" right="0.7" top="0.75" bottom="0.75" header="0.3" footer="0.3"/>
  <x:tableParts count="1">
    <x:tablePart xmlns:r="http://schemas.openxmlformats.org/officeDocument/2006/relationships" r:id="R2c559e8226ee47e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8" hidden="0" customWidth="1"/>
    <x:col min="3" max="3" width="32" hidden="0" customWidth="1"/>
    <x:col min="4" max="4" width="18" hidden="0" customWidth="1"/>
    <x:col min="5" max="5" width="30" hidden="0" customWidth="1"/>
    <x:col min="6" max="6" width="46" hidden="0" customWidth="1"/>
  </x:cols>
  <x:sheetData>
    <x:row r="1">
      <x:c r="A1" s="29" t="str">
        <x:v>来源、汇率与统计口径</x:v>
      </x:c>
      <x:c r="B1" s="29"/>
      <x:c r="C1" s="29"/>
      <x:c r="D1" s="29"/>
      <x:c r="E1" s="29"/>
      <x:c r="F1" s="29"/>
    </x:row>
    <x:row r="2">
      <x:c r="A2" s="29"/>
      <x:c r="B2" s="29"/>
      <x:c r="C2" s="29"/>
      <x:c r="D2" s="29"/>
      <x:c r="E2" s="29"/>
      <x:c r="F2" s="29"/>
    </x:row>
    <x:row r="4">
      <x:c r="A4" s="8" t="str">
        <x:v>英镑兑人民币汇率</x:v>
      </x:c>
      <x:c r="B4" s="57" t="n">
        <x:v>9.153</x:v>
      </x:c>
    </x:row>
    <x:row r="5">
      <x:c r="A5" s="8" t="str">
        <x:v>汇率日期</x:v>
      </x:c>
      <x:c r="B5" s="10" t="str">
        <x:v>2026-08-31 12:15:53</x:v>
      </x:c>
    </x:row>
    <x:row r="6">
      <x:c r="A6" s="8" t="str">
        <x:v>汇率口径</x:v>
      </x:c>
      <x:c r="B6" s="10" t="str">
        <x:v>中国银行中间价：100英镑=915.30人民币</x:v>
      </x:c>
    </x:row>
    <x:row r="7">
      <x:c r="A7" s="8" t="str">
        <x:v>汇率来源</x:v>
      </x:c>
      <x:c r="B7" s="10" t="str">
        <x:v>https://www.boc.cn/sourcedb/whpjSearch/index.html</x:v>
      </x:c>
    </x:row>
    <x:row r="10">
      <x:c r="A10" s="36" t="str">
        <x:v>来源类型</x:v>
      </x:c>
      <x:c r="B10" s="36" t="str">
        <x:v>位置/文件</x:v>
      </x:c>
      <x:c r="C10" s="36" t="str">
        <x:v>覆盖内容</x:v>
      </x:c>
      <x:c r="D10" s="36" t="str">
        <x:v>读取日期</x:v>
      </x:c>
      <x:c r="E10" s="36" t="str">
        <x:v>处理方式</x:v>
      </x:c>
      <x:c r="F10" s="36" t="str">
        <x:v>备注</x:v>
      </x:c>
    </x:row>
    <x:row r="11">
      <x:c r="A11" s="64" t="str">
        <x:v>截图文件夹</x:v>
      </x:c>
      <x:c r="B11" s="64" t="str">
        <x:v>/Users/macbook/Desktop/国贸数字2026暑假/Demo App 专属健身饮食秘书/前期成本</x:v>
      </x:c>
      <x:c r="C11" s="64" t="str">
        <x:v>12张前期成本截图</x:v>
      </x:c>
      <x:c r="D11" s="65" t="n">
        <x:v>46265</x:v>
      </x:c>
      <x:c r="E11" s="64" t="str">
        <x:v>逐张人工核对</x:v>
      </x:c>
      <x:c r="F11" s="64" t="str">
        <x:v>零金额项目不计入支出；重复截图去重</x:v>
      </x:c>
    </x:row>
    <x:row r="12">
      <x:c r="A12" s="64" t="str">
        <x:v>既有账本</x:v>
      </x:c>
      <x:c r="B12" s="64" t="str">
        <x:v>/Users/macbook/Documents/AI饮食秘书/docs/PROJECT_COST_LEDGER.md</x:v>
      </x:c>
      <x:c r="C12" s="64" t="str">
        <x:v>腾讯云云开发与轻量服务器</x:v>
      </x:c>
      <x:c r="D12" s="65" t="n">
        <x:v>46265</x:v>
      </x:c>
      <x:c r="E12" s="64" t="str">
        <x:v>与截图交叉核对</x:v>
      </x:c>
      <x:c r="F12" s="64" t="str">
        <x:v>保留既有付款日期</x:v>
      </x:c>
    </x:row>
    <x:row r="13">
      <x:c r="A13" s="64" t="str">
        <x:v>腾讯云截图</x:v>
      </x:c>
      <x:c r="B13" s="64" t="str">
        <x:v>a37bdd6bfb0279e26da64dcd66165cf7.jpg</x:v>
      </x:c>
      <x:c r="C13" s="64" t="str">
        <x:v>2026-08产品汇总778.34元</x:v>
      </x:c>
      <x:c r="D13" s="65" t="n">
        <x:v>46265</x:v>
      </x:c>
      <x:c r="E13" s="64" t="str">
        <x:v>按产品拆分入账</x:v>
      </x:c>
      <x:c r="F13" s="64" t="str">
        <x:v>拆分合计与账单总额一致</x:v>
      </x:c>
    </x:row>
    <x:row r="14">
      <x:c r="A14" s="64" t="str">
        <x:v>阿里云截图</x:v>
      </x:c>
      <x:c r="B14" s="64" t="str">
        <x:v>7943…、7ac68…、50c2…</x:v>
      </x:c>
      <x:c r="C14" s="64" t="str">
        <x:v>2026-07与2026-08费用明细</x:v>
      </x:c>
      <x:c r="D14" s="65" t="n">
        <x:v>46265</x:v>
      </x:c>
      <x:c r="E14" s="64" t="str">
        <x:v>按非零项目入账</x:v>
      </x:c>
      <x:c r="F14" s="64" t="str">
        <x:v>月度合计59.64元</x:v>
      </x:c>
    </x:row>
    <x:row r="15">
      <x:c r="A15" s="66" t="str">
        <x:v>银行截图</x:v>
      </x:c>
      <x:c r="B15" s="66" t="str">
        <x:v>OpenAI与Anthropic交易截图</x:v>
      </x:c>
      <x:c r="C15" s="66" t="str">
        <x:v>21笔英镑扣款</x:v>
      </x:c>
      <x:c r="D15" s="67" t="n">
        <x:v>46265</x:v>
      </x:c>
      <x:c r="E15" s="66" t="str">
        <x:v>原币逐笔入账并统一按当日汇率折算</x:v>
      </x:c>
      <x:c r="F15" s="66" t="str">
        <x:v>银行实际人民币入账金额可能因交易日汇率及手续费不同</x:v>
      </x:c>
    </x:row>
  </x:sheetData>
  <x:mergeCells>
    <x:mergeCell ref="A1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4" hidden="0" customWidth="1"/>
  </x:cols>
  <x:sheetData>
    <x:row r="1">
      <x:c r="A1" s="29" t="str">
        <x:v>核对与控制</x:v>
      </x:c>
      <x:c r="B1" s="29"/>
      <x:c r="C1" s="29"/>
      <x:c r="D1" s="29"/>
    </x:row>
    <x:row r="2">
      <x:c r="A2" s="29"/>
      <x:c r="B2" s="29"/>
      <x:c r="C2" s="29"/>
      <x:c r="D2" s="29"/>
    </x:row>
    <x:row r="4">
      <x:c r="A4" s="70" t="str">
        <x:v>检查项</x:v>
      </x:c>
      <x:c r="B4" s="70" t="str">
        <x:v>实际值</x:v>
      </x:c>
      <x:c r="C4" s="70" t="str">
        <x:v>目标值</x:v>
      </x:c>
      <x:c r="D4" s="70" t="str">
        <x:v>结果</x:v>
      </x:c>
    </x:row>
    <x:row r="5">
      <x:c r="A5" s="71" t="str">
        <x:v>腾讯云拆分合计</x:v>
      </x:c>
      <x:c r="B5" s="72" t="n">
        <x:f>SUMIF('费用明细'!$C$6:$C$100,"腾讯云",'费用明细'!$F$6:$F$100)</x:f>
        <x:v>778.34</x:v>
      </x:c>
      <x:c r="C5" s="72" t="n">
        <x:v>778.34</x:v>
      </x:c>
      <x:c r="D5" s="71" t="str">
        <x:f>IF(ABS(B5-C5)&lt;0.01,"PASS","FAIL")</x:f>
        <x:v>PASS</x:v>
      </x:c>
    </x:row>
    <x:row r="6">
      <x:c r="A6" s="71" t="str">
        <x:v>阿里云截图合计</x:v>
      </x:c>
      <x:c r="B6" s="72" t="n">
        <x:f>SUMIF('费用明细'!$C$6:$C$100,"阿里云",'费用明细'!$F$6:$F$100)</x:f>
        <x:v>59.64</x:v>
      </x:c>
      <x:c r="C6" s="72" t="n">
        <x:v>59.64</x:v>
      </x:c>
      <x:c r="D6" s="71" t="str">
        <x:f>IF(ABS(B6-C6)&lt;0.01,"PASS","FAIL")</x:f>
        <x:v>PASS</x:v>
      </x:c>
    </x:row>
    <x:row r="7">
      <x:c r="A7" s="71" t="str">
        <x:v>OpenAI英镑合计</x:v>
      </x:c>
      <x:c r="B7" s="72" t="n">
        <x:f>SUMIF('费用明细'!$C$6:$C$100,"OpenAI",'费用明细'!$F$6:$F$100)</x:f>
        <x:v>690.3899999999999</x:v>
      </x:c>
      <x:c r="C7" s="72" t="n">
        <x:v>690.39</x:v>
      </x:c>
      <x:c r="D7" s="71" t="str">
        <x:f>IF(ABS(B7-C7)&lt;0.01,"PASS","FAIL")</x:f>
        <x:v>PASS</x:v>
      </x:c>
    </x:row>
    <x:row r="8">
      <x:c r="A8" s="71" t="str">
        <x:v>Anthropic英镑合计</x:v>
      </x:c>
      <x:c r="B8" s="72" t="n">
        <x:f>SUMIF('费用明细'!$C$6:$C$100,"Anthropic",'费用明细'!$F$6:$F$100)</x:f>
        <x:v>108</x:v>
      </x:c>
      <x:c r="C8" s="72" t="n">
        <x:v>108</x:v>
      </x:c>
      <x:c r="D8" s="71" t="str">
        <x:f>IF(ABS(B8-C8)&lt;0.01,"PASS","FAIL")</x:f>
        <x:v>PASS</x:v>
      </x:c>
    </x:row>
    <x:row r="9">
      <x:c r="A9" s="71" t="str">
        <x:v>汇总与明细总额</x:v>
      </x:c>
      <x:c r="B9" s="72" t="n">
        <x:f>SUM('费用明细'!$H$6:$H$100)</x:f>
        <x:v>8145.643670000002</x:v>
      </x:c>
      <x:c r="C9" s="72" t="n">
        <x:f>'汇总'!$A$6</x:f>
        <x:v>8145.64</x:v>
      </x:c>
      <x:c r="D9" s="71" t="str">
        <x:f>IF(ABS(B9-C9)&lt;0.01,"PASS","FAIL")</x:f>
        <x:v>PASS</x:v>
      </x:c>
    </x:row>
    <x:row r="11">
      <x:c r="A11" s="8" t="str">
        <x:v>MODEL STATUS</x:v>
      </x:c>
      <x:c r="B11" s="69" t="str">
        <x:f>IF(COUNTIF(D5:D9,"FAIL")=0,"PASS","FAIL")</x:f>
        <x:v>PASS</x:v>
      </x:c>
    </x:row>
  </x:sheetData>
  <x:mergeCells>
    <x:mergeCell ref="A1:D2"/>
  </x:mergeCells>
  <x:pageMargins left="0.7" right="0.7" top="0.75" bottom="0.75" header="0.3" footer="0.3"/>
</x:worksheet>
</file>